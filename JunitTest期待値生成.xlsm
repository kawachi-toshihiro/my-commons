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600" yWindow="75" windowWidth="18195" windowHeight="12270"/>
  </bookViews>
  <sheets>
    <sheet name="テストコード" sheetId="1" r:id="rId1"/>
    <sheet name="ソース生成" sheetId="2" r:id="rId2"/>
    <sheet name="Sheet3" sheetId="3" r:id="rId3"/>
  </sheets>
  <definedNames>
    <definedName name="_xlnm._FilterDatabase" localSheetId="0" hidden="1">テストコード!$D$9:$E$25</definedName>
  </definedNames>
  <calcPr calcId="125725"/>
</workbook>
</file>

<file path=xl/calcChain.xml><?xml version="1.0" encoding="utf-8"?>
<calcChain xmlns="http://schemas.openxmlformats.org/spreadsheetml/2006/main">
  <c r="J11" i="1"/>
  <c r="J10"/>
  <c r="J12"/>
  <c r="J13"/>
  <c r="J14"/>
  <c r="J15"/>
  <c r="J16"/>
  <c r="J17"/>
  <c r="J18"/>
  <c r="J19"/>
  <c r="J20"/>
  <c r="J21"/>
  <c r="J22"/>
  <c r="J23"/>
  <c r="J24"/>
  <c r="J25"/>
  <c r="H11"/>
  <c r="H12"/>
  <c r="H13"/>
  <c r="H14"/>
  <c r="H15"/>
  <c r="H16"/>
  <c r="H17"/>
  <c r="H18"/>
  <c r="H19"/>
  <c r="H20"/>
  <c r="H21"/>
  <c r="H22"/>
  <c r="H23"/>
  <c r="H24"/>
  <c r="H25"/>
  <c r="H10"/>
  <c r="I10"/>
  <c r="F3" i="2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"/>
  <c r="L11" i="1"/>
  <c r="L12"/>
  <c r="L13"/>
  <c r="L14"/>
  <c r="L15"/>
  <c r="L16"/>
  <c r="L17"/>
  <c r="L18"/>
  <c r="L19"/>
  <c r="L20"/>
  <c r="L21"/>
  <c r="L22"/>
  <c r="L23"/>
  <c r="L24"/>
  <c r="L25"/>
  <c r="L10"/>
  <c r="I11"/>
  <c r="I12"/>
  <c r="I13"/>
  <c r="I14"/>
  <c r="I15"/>
  <c r="I16"/>
  <c r="I17"/>
  <c r="I18"/>
  <c r="I19"/>
  <c r="I20"/>
  <c r="I21"/>
  <c r="I22"/>
  <c r="I23"/>
  <c r="I24"/>
  <c r="I25"/>
  <c r="G11"/>
  <c r="G12"/>
  <c r="G13"/>
  <c r="G14"/>
  <c r="G15"/>
  <c r="G16"/>
  <c r="G17"/>
  <c r="G18"/>
  <c r="G19"/>
  <c r="G20"/>
  <c r="G21"/>
  <c r="G22"/>
  <c r="G23"/>
  <c r="G24"/>
  <c r="G25"/>
  <c r="G10"/>
  <c r="F10"/>
  <c r="F11"/>
  <c r="F12"/>
  <c r="F13"/>
  <c r="F14"/>
  <c r="F15"/>
  <c r="F16"/>
  <c r="F17"/>
  <c r="F18"/>
  <c r="F19"/>
  <c r="F20"/>
  <c r="F21"/>
  <c r="F22"/>
  <c r="F23"/>
  <c r="F24"/>
  <c r="F25"/>
</calcChain>
</file>

<file path=xl/sharedStrings.xml><?xml version="1.0" encoding="utf-8"?>
<sst xmlns="http://schemas.openxmlformats.org/spreadsheetml/2006/main" count="94" uniqueCount="93">
  <si>
    <t>千葉市稲毛区緑町3丁目30-8　郵便ビル403号</t>
  </si>
  <si>
    <t>秋田県大仙市堀見内　南田茂木　添60-1</t>
  </si>
  <si>
    <t>東京都台東区台東5-6-3　ABCビル10F</t>
  </si>
  <si>
    <t>北海道札幌市東区北六条東4丁目　郵便センター6号館</t>
  </si>
  <si>
    <t>北海道札幌市東区北六条東8丁目　郵便センター10号館</t>
  </si>
  <si>
    <t>山梨県韮崎市龍岡町下條南割　韮崎400</t>
  </si>
  <si>
    <t>千葉県鎌ケ谷市右京塚　東3丁目-20-5　郵便・A&amp;bコーポB604号</t>
  </si>
  <si>
    <t>東京都青梅市河辺町十一丁目六番地一号　郵便タワー601</t>
  </si>
  <si>
    <t>岩手県宮古市大字津軽石第二十一地割大淵川480</t>
  </si>
  <si>
    <t>大阪府堺市堺区中田出井町四丁六番十九号</t>
  </si>
  <si>
    <t>北海道帯広市稲田町南七線　西28</t>
  </si>
  <si>
    <t>茨城県日立市宮田町6丁目7-14　ABCビル2F</t>
  </si>
  <si>
    <t>神戸市中央区港島中町9丁目7-6　郵便シティA棟1F1号</t>
  </si>
  <si>
    <t>京都府綾部市青野町綾部6-7　LプラザB106</t>
  </si>
  <si>
    <t>札幌市中央区南四条西29丁目1524-23　第2郵便ハウス501</t>
  </si>
  <si>
    <t>福井県福井市新田塚3丁目80-25　J1ビル2-B</t>
  </si>
  <si>
    <t>1 1 0 0 0 1 6 5 - 6 - 3 - 1 0 CC4 CC4 CC4 CC4 CC4 9 SPC</t>
  </si>
  <si>
    <t>2 6 3 0 0 2 3 3 - 3 0 - 8 - 4 0 3 CC4 CC4 CC4 5 SPC</t>
  </si>
  <si>
    <t>0 1 4 0 1 1 3 6 0 - 1 CC4 CC4 CC4 CC4 CC4 CC4 CC4 CC4 CC4 CC8 SPC</t>
  </si>
  <si>
    <t>0 6 0 0 9 0 6 4 - 6 CC4 CC4 CC4 CC4 CC4 CC4 CC4 CC4 CC4 CC4 9 SPC</t>
  </si>
  <si>
    <t>0 6 5 0 0 0 6 8 - 1 0 CC4 CC4 CC4 CC4 CC4 CC4 CC4 CC4 CC4 9 SPC</t>
  </si>
  <si>
    <t>4 0 7 0 0 3 3 4 0 0 CC4 CC4 CC4 CC4 CC4 CC4 CC4 CC4 CC4 CC4 - SPC</t>
  </si>
  <si>
    <t>2 7 3 0 1 0 2 3 - 2 0 - 5 CC1 1 6 0 4 CC4 CC4 0 SPC</t>
  </si>
  <si>
    <t>1 9 8 0 0 3 6 1 1 - 6 - 1 - 6 0 1 CC4 CC4 CC4 CC8 SPC</t>
  </si>
  <si>
    <t>0 2 7 0 2 0 3 2 1 - 4 8 0 CC4 CC4 CC4 CC4 CC4 CC4 CC4 CC5 SPC</t>
  </si>
  <si>
    <t>5 9 0 0 0 1 6 4 - 6 - 1 9 CC4 CC4 CC4 CC4 CC4 CC4 CC4 CC2 SPC</t>
  </si>
  <si>
    <t>0 8 0 0 8 3 1 7 - 2 8 CC4 CC4 CC4 CC4 CC4 CC4 CC4 CC4 CC4 CC7 SPC</t>
  </si>
  <si>
    <t>3 1 7 0 0 5 5 6 - 7 - 1 4 - 2 CC4 CC4 CC4 CC4 CC4 CC1 SPC</t>
  </si>
  <si>
    <t>6 5 0 0 0 4 6 9 - 7 - 6 CC1 0 1 - 1 CC4 CC4 CC4 5 SPC</t>
  </si>
  <si>
    <t>6 2 3 0 0 1 1 6 - 7 CC2 1 CC1 1 1 0 6 CC4 CC4 CC4 4 SPC</t>
  </si>
  <si>
    <t>0 6 4 0 8 0 4 2 9 - 1 5 2 4 - 2 3 - 2 - 3 SPC</t>
  </si>
  <si>
    <t>9 1 0 0 0 6 7 3 - 8 0 - 2 5 CC1 9 1 - 2 CC1 9 SPC</t>
  </si>
  <si>
    <t>住所</t>
    <rPh sb="0" eb="2">
      <t>ジュウショ</t>
    </rPh>
    <phoneticPr fontId="2"/>
  </si>
  <si>
    <t>コード</t>
    <phoneticPr fontId="2"/>
  </si>
  <si>
    <t>CC4</t>
    <phoneticPr fontId="2"/>
  </si>
  <si>
    <t>SPC</t>
    <phoneticPr fontId="2"/>
  </si>
  <si>
    <t>期待値</t>
    <rPh sb="0" eb="3">
      <t>キタイチ</t>
    </rPh>
    <phoneticPr fontId="2"/>
  </si>
  <si>
    <t>JavaJunitSource</t>
    <phoneticPr fontId="2"/>
  </si>
  <si>
    <t>assertEquals("@address","@expected",Encoder.execute("@address"));</t>
    <phoneticPr fontId="2"/>
  </si>
  <si>
    <t>http://www.post.japanpost.jp/zipcode/zipmanual/p25.html</t>
  </si>
  <si>
    <t>A</t>
    <phoneticPr fontId="2"/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</si>
  <si>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</si>
  <si>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</si>
  <si>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</si>
  <si>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</si>
  <si>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</si>
  <si>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</si>
  <si>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</si>
  <si>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</si>
  <si>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</si>
  <si>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</si>
  <si>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</si>
  <si>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</si>
  <si>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</si>
  <si>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</si>
  <si>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</si>
  <si>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</si>
  <si>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</si>
  <si>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</si>
  <si>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</si>
  <si>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</si>
  <si>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</si>
  <si>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</si>
  <si>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</si>
  <si>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</si>
  <si>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</si>
  <si>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CC11</t>
  </si>
  <si>
    <t>CC10</t>
    <phoneticPr fontId="2"/>
  </si>
  <si>
    <t>CC12</t>
  </si>
  <si>
    <t>CC13</t>
  </si>
  <si>
    <t>CC14</t>
  </si>
  <si>
    <t>CC15</t>
  </si>
  <si>
    <t>CC16</t>
  </si>
  <si>
    <t>CC17</t>
  </si>
  <si>
    <t>CC18</t>
  </si>
  <si>
    <t>CC19</t>
  </si>
  <si>
    <t>CC20</t>
  </si>
  <si>
    <t>CC21</t>
  </si>
  <si>
    <t>CC22</t>
  </si>
  <si>
    <t>CC23</t>
  </si>
  <si>
    <t>CC24</t>
  </si>
  <si>
    <t>CC25</t>
  </si>
  <si>
    <t>CC26</t>
  </si>
  <si>
    <t>CC27</t>
  </si>
  <si>
    <t>CC28</t>
  </si>
  <si>
    <t>CC29</t>
  </si>
  <si>
    <t>CC30</t>
  </si>
  <si>
    <t>CC31</t>
  </si>
  <si>
    <t>CC32</t>
  </si>
  <si>
    <t>CC33</t>
  </si>
  <si>
    <t>CC34</t>
  </si>
  <si>
    <t>CC35</t>
  </si>
  <si>
    <t>CC4除く</t>
    <rPh sb="3" eb="4">
      <t>ノゾ</t>
    </rPh>
    <phoneticPr fontId="2"/>
  </si>
</sst>
</file>

<file path=xl/styles.xml><?xml version="1.0" encoding="utf-8"?>
<styleSheet xmlns="http://schemas.openxmlformats.org/spreadsheetml/2006/main">
  <fonts count="3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DD"/>
        <bgColor indexed="64"/>
      </patternFill>
    </fill>
    <fill>
      <patternFill patternType="solid">
        <fgColor rgb="FFEEEEEE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DAD9C7"/>
      </right>
      <top/>
      <bottom/>
      <diagonal/>
    </border>
    <border>
      <left/>
      <right style="medium">
        <color rgb="FFDAD9C7"/>
      </right>
      <top style="medium">
        <color rgb="FFDAD9C7"/>
      </top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1" fillId="2" borderId="1" xfId="0" applyFont="1" applyFill="1" applyBorder="1" applyAlignment="1">
      <alignment vertical="center" wrapText="1"/>
    </xf>
    <xf numFmtId="0" fontId="1" fillId="3" borderId="2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 wrapText="1"/>
    </xf>
    <xf numFmtId="0" fontId="1" fillId="2" borderId="0" xfId="0" applyFont="1" applyFill="1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D7:L25"/>
  <sheetViews>
    <sheetView tabSelected="1" topLeftCell="B14" workbookViewId="0">
      <selection activeCell="D24" sqref="D24"/>
    </sheetView>
  </sheetViews>
  <sheetFormatPr defaultRowHeight="13.5"/>
  <cols>
    <col min="4" max="4" width="83.875" customWidth="1"/>
    <col min="5" max="5" width="34.75" customWidth="1"/>
    <col min="6" max="6" width="22.5" customWidth="1"/>
    <col min="8" max="8" width="33.875" customWidth="1"/>
  </cols>
  <sheetData>
    <row r="7" spans="4:12">
      <c r="D7" t="s">
        <v>39</v>
      </c>
    </row>
    <row r="8" spans="4:12">
      <c r="L8" t="s">
        <v>38</v>
      </c>
    </row>
    <row r="9" spans="4:12">
      <c r="D9" t="s">
        <v>32</v>
      </c>
      <c r="E9" t="s">
        <v>33</v>
      </c>
      <c r="F9" t="s">
        <v>34</v>
      </c>
      <c r="G9" t="s">
        <v>35</v>
      </c>
      <c r="H9" t="s">
        <v>33</v>
      </c>
      <c r="I9" t="s">
        <v>92</v>
      </c>
      <c r="J9" t="s">
        <v>36</v>
      </c>
      <c r="L9" t="s">
        <v>37</v>
      </c>
    </row>
    <row r="10" spans="4:12" ht="27.75" thickBot="1">
      <c r="D10" s="1" t="s">
        <v>0</v>
      </c>
      <c r="E10" s="4" t="s">
        <v>17</v>
      </c>
      <c r="F10" s="4">
        <f>FIND("CC4",E10)</f>
        <v>35</v>
      </c>
      <c r="G10">
        <f>FIND("SPC",E10)</f>
        <v>49</v>
      </c>
      <c r="H10" t="str">
        <f>SUBSTITUTE(LEFT(E10,G10-1)," ","")</f>
        <v>26300233-30-8-403CC4CC4CC45</v>
      </c>
      <c r="I10" t="str">
        <f>SUBSTITUTE(LEFT(E10,IF(ISERROR(F10),G10-1,F10-1))," ","")</f>
        <v>26300233-30-8-403</v>
      </c>
      <c r="J10" t="str">
        <f>MID(H10,8,LEN(H10)-8)</f>
        <v>3-30-8-403CC4CC4CC4</v>
      </c>
      <c r="L10" t="str">
        <f>SUBSTITUTE(SUBSTITUTE($L$8,"@address",$D10),"@expected",J10)</f>
        <v>assertEquals("千葉市稲毛区緑町3丁目30-8　郵便ビル403号","3-30-8-403CC4CC4CC4",Encoder.execute("千葉市稲毛区緑町3丁目30-8　郵便ビル403号"));</v>
      </c>
    </row>
    <row r="11" spans="4:12" ht="27.75" thickBot="1">
      <c r="D11" s="2" t="s">
        <v>1</v>
      </c>
      <c r="E11" s="4" t="s">
        <v>18</v>
      </c>
      <c r="F11" s="4">
        <f t="shared" ref="F11:F25" si="0">FIND("CC4",E11)</f>
        <v>23</v>
      </c>
      <c r="G11">
        <f t="shared" ref="G11:G25" si="1">FIND("SPC",E11)</f>
        <v>63</v>
      </c>
      <c r="H11" t="str">
        <f t="shared" ref="H11:H25" si="2">SUBSTITUTE(LEFT(E11,G11-1)," ","")</f>
        <v>014011360-1CC4CC4CC4CC4CC4CC4CC4CC4CC4CC8</v>
      </c>
      <c r="I11" t="str">
        <f t="shared" ref="I11:I25" si="3">SUBSTITUTE(LEFT(E11,IF(ISERROR(F11),G11-1,F11-1))," ","")</f>
        <v>014011360-1</v>
      </c>
      <c r="J11" t="str">
        <f>MID(H11,8,LEN(H11)-8)</f>
        <v>60-1CC4CC4CC4CC4CC4CC4CC4CC4CC4CC</v>
      </c>
      <c r="L11" t="str">
        <f t="shared" ref="L11:L25" si="4">SUBSTITUTE(SUBSTITUTE($L$8,"@address",$D11),"@expected",J11)</f>
        <v>assertEquals("秋田県大仙市堀見内　南田茂木　添60-1","60-1CC4CC4CC4CC4CC4CC4CC4CC4CC4CC",Encoder.execute("秋田県大仙市堀見内　南田茂木　添60-1"));</v>
      </c>
    </row>
    <row r="12" spans="4:12" ht="27.75" thickBot="1">
      <c r="D12" s="3" t="s">
        <v>2</v>
      </c>
      <c r="E12" s="4" t="s">
        <v>16</v>
      </c>
      <c r="F12" s="4">
        <f t="shared" si="0"/>
        <v>31</v>
      </c>
      <c r="G12">
        <f t="shared" si="1"/>
        <v>53</v>
      </c>
      <c r="H12" t="str">
        <f t="shared" si="2"/>
        <v>11000165-6-3-10CC4CC4CC4CC4CC49</v>
      </c>
      <c r="I12" t="str">
        <f t="shared" si="3"/>
        <v>11000165-6-3-10</v>
      </c>
      <c r="J12" t="str">
        <f t="shared" ref="J11:J25" si="5">MID(H12,8,LEN(H12)-8)</f>
        <v>5-6-3-10CC4CC4CC4CC4CC4</v>
      </c>
      <c r="L12" t="str">
        <f t="shared" si="4"/>
        <v>assertEquals("東京都台東区台東5-6-3　ABCビル10F","5-6-3-10CC4CC4CC4CC4CC4",Encoder.execute("東京都台東区台東5-6-3　ABCビル10F"));</v>
      </c>
    </row>
    <row r="13" spans="4:12" ht="27.75" thickBot="1">
      <c r="D13" s="2" t="s">
        <v>3</v>
      </c>
      <c r="E13" s="4" t="s">
        <v>19</v>
      </c>
      <c r="F13" s="4">
        <f t="shared" si="0"/>
        <v>21</v>
      </c>
      <c r="G13">
        <f t="shared" si="1"/>
        <v>63</v>
      </c>
      <c r="H13" t="str">
        <f t="shared" si="2"/>
        <v>06009064-6CC4CC4CC4CC4CC4CC4CC4CC4CC4CC49</v>
      </c>
      <c r="I13" t="str">
        <f t="shared" si="3"/>
        <v>06009064-6</v>
      </c>
      <c r="J13" t="str">
        <f t="shared" si="5"/>
        <v>4-6CC4CC4CC4CC4CC4CC4CC4CC4CC4CC4</v>
      </c>
      <c r="L13" t="str">
        <f t="shared" si="4"/>
        <v>assertEquals("北海道札幌市東区北六条東4丁目　郵便センター6号館","4-6CC4CC4CC4CC4CC4CC4CC4CC4CC4CC4",Encoder.execute("北海道札幌市東区北六条東4丁目　郵便センター6号館"));</v>
      </c>
    </row>
    <row r="14" spans="4:12" ht="27.75" thickBot="1">
      <c r="D14" s="3" t="s">
        <v>4</v>
      </c>
      <c r="E14" s="4" t="s">
        <v>20</v>
      </c>
      <c r="F14" s="4">
        <f t="shared" si="0"/>
        <v>23</v>
      </c>
      <c r="G14">
        <f t="shared" si="1"/>
        <v>61</v>
      </c>
      <c r="H14" t="str">
        <f t="shared" si="2"/>
        <v>06500068-10CC4CC4CC4CC4CC4CC4CC4CC4CC49</v>
      </c>
      <c r="I14" t="str">
        <f t="shared" si="3"/>
        <v>06500068-10</v>
      </c>
      <c r="J14" t="str">
        <f t="shared" si="5"/>
        <v>8-10CC4CC4CC4CC4CC4CC4CC4CC4CC4</v>
      </c>
      <c r="L14" t="str">
        <f t="shared" si="4"/>
        <v>assertEquals("北海道札幌市東区北六条東8丁目　郵便センター10号館","8-10CC4CC4CC4CC4CC4CC4CC4CC4CC4",Encoder.execute("北海道札幌市東区北六条東8丁目　郵便センター10号館"));</v>
      </c>
    </row>
    <row r="15" spans="4:12" ht="27.75" thickBot="1">
      <c r="D15" s="2" t="s">
        <v>5</v>
      </c>
      <c r="E15" s="4" t="s">
        <v>21</v>
      </c>
      <c r="F15" s="4">
        <f t="shared" si="0"/>
        <v>21</v>
      </c>
      <c r="G15">
        <f t="shared" si="1"/>
        <v>63</v>
      </c>
      <c r="H15" t="str">
        <f t="shared" si="2"/>
        <v>4070033400CC4CC4CC4CC4CC4CC4CC4CC4CC4CC4-</v>
      </c>
      <c r="I15" t="str">
        <f t="shared" si="3"/>
        <v>4070033400</v>
      </c>
      <c r="J15" t="str">
        <f t="shared" si="5"/>
        <v>400CC4CC4CC4CC4CC4CC4CC4CC4CC4CC4</v>
      </c>
      <c r="L15" t="str">
        <f t="shared" si="4"/>
        <v>assertEquals("山梨県韮崎市龍岡町下條南割　韮崎400","400CC4CC4CC4CC4CC4CC4CC4CC4CC4CC4",Encoder.execute("山梨県韮崎市龍岡町下條南割　韮崎400"));</v>
      </c>
    </row>
    <row r="16" spans="4:12" ht="27.75" thickBot="1">
      <c r="D16" s="3" t="s">
        <v>6</v>
      </c>
      <c r="E16" s="4" t="s">
        <v>22</v>
      </c>
      <c r="F16" s="4">
        <f t="shared" si="0"/>
        <v>39</v>
      </c>
      <c r="G16">
        <f t="shared" si="1"/>
        <v>49</v>
      </c>
      <c r="H16" t="str">
        <f t="shared" si="2"/>
        <v>27301023-20-5CC11604CC4CC40</v>
      </c>
      <c r="I16" t="str">
        <f t="shared" si="3"/>
        <v>27301023-20-5CC11604</v>
      </c>
      <c r="J16" t="str">
        <f t="shared" si="5"/>
        <v>3-20-5CC11604CC4CC4</v>
      </c>
      <c r="L16" t="str">
        <f t="shared" si="4"/>
        <v>assertEquals("千葉県鎌ケ谷市右京塚　東3丁目-20-5　郵便・A&amp;bコーポB604号","3-20-5CC11604CC4CC4",Encoder.execute("千葉県鎌ケ谷市右京塚　東3丁目-20-5　郵便・A&amp;bコーポB604号"));</v>
      </c>
    </row>
    <row r="17" spans="4:12" ht="27.75" thickBot="1">
      <c r="D17" s="2" t="s">
        <v>7</v>
      </c>
      <c r="E17" s="4" t="s">
        <v>23</v>
      </c>
      <c r="F17" s="4">
        <f t="shared" si="0"/>
        <v>35</v>
      </c>
      <c r="G17">
        <f t="shared" si="1"/>
        <v>51</v>
      </c>
      <c r="H17" t="str">
        <f t="shared" si="2"/>
        <v>198003611-6-1-601CC4CC4CC4CC8</v>
      </c>
      <c r="I17" t="str">
        <f t="shared" si="3"/>
        <v>198003611-6-1-601</v>
      </c>
      <c r="J17" t="str">
        <f t="shared" si="5"/>
        <v>11-6-1-601CC4CC4CC4CC</v>
      </c>
      <c r="L17" t="str">
        <f t="shared" si="4"/>
        <v>assertEquals("東京都青梅市河辺町十一丁目六番地一号　郵便タワー601","11-6-1-601CC4CC4CC4CC",Encoder.execute("東京都青梅市河辺町十一丁目六番地一号　郵便タワー601"));</v>
      </c>
    </row>
    <row r="18" spans="4:12" ht="27.75" thickBot="1">
      <c r="D18" s="3" t="s">
        <v>8</v>
      </c>
      <c r="E18" s="4" t="s">
        <v>24</v>
      </c>
      <c r="F18" s="4">
        <f t="shared" si="0"/>
        <v>27</v>
      </c>
      <c r="G18">
        <f t="shared" si="1"/>
        <v>59</v>
      </c>
      <c r="H18" t="str">
        <f t="shared" si="2"/>
        <v>027020321-480CC4CC4CC4CC4CC4CC4CC4CC5</v>
      </c>
      <c r="I18" t="str">
        <f t="shared" si="3"/>
        <v>027020321-480</v>
      </c>
      <c r="J18" t="str">
        <f t="shared" si="5"/>
        <v>21-480CC4CC4CC4CC4CC4CC4CC4CC</v>
      </c>
      <c r="L18" t="str">
        <f t="shared" si="4"/>
        <v>assertEquals("岩手県宮古市大字津軽石第二十一地割大淵川480","21-480CC4CC4CC4CC4CC4CC4CC4CC",Encoder.execute("岩手県宮古市大字津軽石第二十一地割大淵川480"));</v>
      </c>
    </row>
    <row r="19" spans="4:12" ht="27.75" thickBot="1">
      <c r="D19" s="2" t="s">
        <v>9</v>
      </c>
      <c r="E19" s="4" t="s">
        <v>25</v>
      </c>
      <c r="F19" s="4">
        <f t="shared" si="0"/>
        <v>27</v>
      </c>
      <c r="G19">
        <f t="shared" si="1"/>
        <v>59</v>
      </c>
      <c r="H19" t="str">
        <f t="shared" si="2"/>
        <v>59000164-6-19CC4CC4CC4CC4CC4CC4CC4CC2</v>
      </c>
      <c r="I19" t="str">
        <f t="shared" si="3"/>
        <v>59000164-6-19</v>
      </c>
      <c r="J19" t="str">
        <f t="shared" si="5"/>
        <v>4-6-19CC4CC4CC4CC4CC4CC4CC4CC</v>
      </c>
      <c r="L19" t="str">
        <f t="shared" si="4"/>
        <v>assertEquals("大阪府堺市堺区中田出井町四丁六番十九号","4-6-19CC4CC4CC4CC4CC4CC4CC4CC",Encoder.execute("大阪府堺市堺区中田出井町四丁六番十九号"));</v>
      </c>
    </row>
    <row r="20" spans="4:12" ht="27.75" thickBot="1">
      <c r="D20" s="3" t="s">
        <v>10</v>
      </c>
      <c r="E20" s="4" t="s">
        <v>26</v>
      </c>
      <c r="F20" s="4">
        <f t="shared" si="0"/>
        <v>23</v>
      </c>
      <c r="G20">
        <f t="shared" si="1"/>
        <v>63</v>
      </c>
      <c r="H20" t="str">
        <f t="shared" si="2"/>
        <v>08008317-28CC4CC4CC4CC4CC4CC4CC4CC4CC4CC7</v>
      </c>
      <c r="I20" t="str">
        <f t="shared" si="3"/>
        <v>08008317-28</v>
      </c>
      <c r="J20" t="str">
        <f t="shared" si="5"/>
        <v>7-28CC4CC4CC4CC4CC4CC4CC4CC4CC4CC</v>
      </c>
      <c r="L20" t="str">
        <f t="shared" si="4"/>
        <v>assertEquals("北海道帯広市稲田町南七線　西28","7-28CC4CC4CC4CC4CC4CC4CC4CC4CC4CC",Encoder.execute("北海道帯広市稲田町南七線　西28"));</v>
      </c>
    </row>
    <row r="21" spans="4:12" ht="27.75" thickBot="1">
      <c r="D21" s="2" t="s">
        <v>11</v>
      </c>
      <c r="E21" s="4" t="s">
        <v>27</v>
      </c>
      <c r="F21" s="4">
        <f t="shared" si="0"/>
        <v>31</v>
      </c>
      <c r="G21">
        <f t="shared" si="1"/>
        <v>55</v>
      </c>
      <c r="H21" t="str">
        <f t="shared" si="2"/>
        <v>31700556-7-14-2CC4CC4CC4CC4CC4CC1</v>
      </c>
      <c r="I21" t="str">
        <f t="shared" si="3"/>
        <v>31700556-7-14-2</v>
      </c>
      <c r="J21" t="str">
        <f t="shared" si="5"/>
        <v>6-7-14-2CC4CC4CC4CC4CC4CC</v>
      </c>
      <c r="L21" t="str">
        <f t="shared" si="4"/>
        <v>assertEquals("茨城県日立市宮田町6丁目7-14　ABCビル2F","6-7-14-2CC4CC4CC4CC4CC4CC",Encoder.execute("茨城県日立市宮田町6丁目7-14　ABCビル2F"));</v>
      </c>
    </row>
    <row r="22" spans="4:12" ht="27.75" thickBot="1">
      <c r="D22" s="3" t="s">
        <v>12</v>
      </c>
      <c r="E22" s="4" t="s">
        <v>28</v>
      </c>
      <c r="F22" s="4">
        <f t="shared" si="0"/>
        <v>37</v>
      </c>
      <c r="G22">
        <f t="shared" si="1"/>
        <v>51</v>
      </c>
      <c r="H22" t="str">
        <f t="shared" si="2"/>
        <v>65000469-7-6CC101-1CC4CC4CC45</v>
      </c>
      <c r="I22" t="str">
        <f t="shared" si="3"/>
        <v>65000469-7-6CC101-1</v>
      </c>
      <c r="J22" t="str">
        <f t="shared" si="5"/>
        <v>9-7-6CC101-1CC4CC4CC4</v>
      </c>
      <c r="L22" t="str">
        <f t="shared" si="4"/>
        <v>assertEquals("神戸市中央区港島中町9丁目7-6　郵便シティA棟1F1号","9-7-6CC101-1CC4CC4CC4",Encoder.execute("神戸市中央区港島中町9丁目7-6　郵便シティA棟1F1号"));</v>
      </c>
    </row>
    <row r="23" spans="4:12" ht="27.75" thickBot="1">
      <c r="D23" s="2" t="s">
        <v>13</v>
      </c>
      <c r="E23" s="4" t="s">
        <v>29</v>
      </c>
      <c r="F23" s="4">
        <f t="shared" si="0"/>
        <v>39</v>
      </c>
      <c r="G23">
        <f t="shared" si="1"/>
        <v>53</v>
      </c>
      <c r="H23" t="str">
        <f t="shared" si="2"/>
        <v>62300116-7CC21CC11106CC4CC4CC44</v>
      </c>
      <c r="I23" t="str">
        <f t="shared" si="3"/>
        <v>62300116-7CC21CC11106</v>
      </c>
      <c r="J23" t="str">
        <f t="shared" si="5"/>
        <v>6-7CC21CC11106CC4CC4CC4</v>
      </c>
      <c r="L23" t="str">
        <f t="shared" si="4"/>
        <v>assertEquals("京都府綾部市青野町綾部6-7　LプラザB106","6-7CC21CC11106CC4CC4CC4",Encoder.execute("京都府綾部市青野町綾部6-7　LプラザB106"));</v>
      </c>
    </row>
    <row r="24" spans="4:12" ht="27.75" thickBot="1">
      <c r="D24" s="3" t="s">
        <v>14</v>
      </c>
      <c r="E24" s="4" t="s">
        <v>30</v>
      </c>
      <c r="F24" s="4" t="e">
        <f t="shared" si="0"/>
        <v>#VALUE!</v>
      </c>
      <c r="G24">
        <f t="shared" si="1"/>
        <v>43</v>
      </c>
      <c r="H24" t="str">
        <f t="shared" si="2"/>
        <v>064080429-1524-23-2-3</v>
      </c>
      <c r="I24" t="str">
        <f t="shared" si="3"/>
        <v>064080429-1524-23-2-3</v>
      </c>
      <c r="J24" t="str">
        <f t="shared" si="5"/>
        <v>29-1524-23-2-</v>
      </c>
      <c r="L24" t="str">
        <f t="shared" si="4"/>
        <v>assertEquals("札幌市中央区南四条西29丁目1524-23　第2郵便ハウス501","29-1524-23-2-",Encoder.execute("札幌市中央区南四条西29丁目1524-23　第2郵便ハウス501"));</v>
      </c>
    </row>
    <row r="25" spans="4:12" ht="27">
      <c r="D25" s="2" t="s">
        <v>15</v>
      </c>
      <c r="E25" s="4" t="s">
        <v>31</v>
      </c>
      <c r="F25" s="4" t="e">
        <f t="shared" si="0"/>
        <v>#VALUE!</v>
      </c>
      <c r="G25">
        <f t="shared" si="1"/>
        <v>47</v>
      </c>
      <c r="H25" t="str">
        <f t="shared" si="2"/>
        <v>91000673-80-25CC191-2CC19</v>
      </c>
      <c r="I25" t="str">
        <f t="shared" si="3"/>
        <v>91000673-80-25CC191-2CC19</v>
      </c>
      <c r="J25" t="str">
        <f t="shared" si="5"/>
        <v>3-80-25CC191-2CC1</v>
      </c>
      <c r="L25" t="str">
        <f t="shared" si="4"/>
        <v>assertEquals("福井県福井市新田塚3丁目80-25　J1ビル2-B","3-80-25CC191-2CC1",Encoder.execute("福井県福井市新田塚3丁目80-25　J1ビル2-B"));</v>
      </c>
    </row>
  </sheetData>
  <autoFilter ref="D9:E25"/>
  <phoneticPr fontId="2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B2:F27"/>
  <sheetViews>
    <sheetView workbookViewId="0">
      <selection activeCell="F2" sqref="F2:F27"/>
    </sheetView>
  </sheetViews>
  <sheetFormatPr defaultRowHeight="13.5"/>
  <sheetData>
    <row r="2" spans="2:6">
      <c r="B2" t="s">
        <v>40</v>
      </c>
      <c r="C2" t="s">
        <v>67</v>
      </c>
      <c r="F2" t="str">
        <f>"CHAR_"&amp;B2&amp;"("""&amp;B2&amp;""","&amp;""""&amp;C2&amp;"""),"</f>
        <v>CHAR_A("A","CC10"),</v>
      </c>
    </row>
    <row r="3" spans="2:6">
      <c r="B3" t="s">
        <v>41</v>
      </c>
      <c r="C3" t="s">
        <v>66</v>
      </c>
      <c r="F3" t="str">
        <f t="shared" ref="F3:F27" si="0">"CHAR_"&amp;B3&amp;"("""&amp;B3&amp;""","&amp;""""&amp;C3&amp;"""),"</f>
        <v>CHAR_B("B","CC11"),</v>
      </c>
    </row>
    <row r="4" spans="2:6">
      <c r="B4" t="s">
        <v>42</v>
      </c>
      <c r="C4" t="s">
        <v>68</v>
      </c>
      <c r="F4" t="str">
        <f t="shared" si="0"/>
        <v>CHAR_C("C","CC12"),</v>
      </c>
    </row>
    <row r="5" spans="2:6">
      <c r="B5" t="s">
        <v>43</v>
      </c>
      <c r="C5" t="s">
        <v>69</v>
      </c>
      <c r="F5" t="str">
        <f t="shared" si="0"/>
        <v>CHAR_D("D","CC13"),</v>
      </c>
    </row>
    <row r="6" spans="2:6">
      <c r="B6" t="s">
        <v>44</v>
      </c>
      <c r="C6" t="s">
        <v>70</v>
      </c>
      <c r="F6" t="str">
        <f t="shared" si="0"/>
        <v>CHAR_E("E","CC14"),</v>
      </c>
    </row>
    <row r="7" spans="2:6">
      <c r="B7" t="s">
        <v>45</v>
      </c>
      <c r="C7" t="s">
        <v>71</v>
      </c>
      <c r="F7" t="str">
        <f t="shared" si="0"/>
        <v>CHAR_F("F","CC15"),</v>
      </c>
    </row>
    <row r="8" spans="2:6">
      <c r="B8" t="s">
        <v>46</v>
      </c>
      <c r="C8" t="s">
        <v>72</v>
      </c>
      <c r="F8" t="str">
        <f t="shared" si="0"/>
        <v>CHAR_G("G","CC16"),</v>
      </c>
    </row>
    <row r="9" spans="2:6">
      <c r="B9" t="s">
        <v>47</v>
      </c>
      <c r="C9" t="s">
        <v>73</v>
      </c>
      <c r="F9" t="str">
        <f t="shared" si="0"/>
        <v>CHAR_H("H","CC17"),</v>
      </c>
    </row>
    <row r="10" spans="2:6">
      <c r="B10" t="s">
        <v>48</v>
      </c>
      <c r="C10" t="s">
        <v>74</v>
      </c>
      <c r="F10" t="str">
        <f t="shared" si="0"/>
        <v>CHAR_I("I","CC18"),</v>
      </c>
    </row>
    <row r="11" spans="2:6">
      <c r="B11" t="s">
        <v>49</v>
      </c>
      <c r="C11" t="s">
        <v>75</v>
      </c>
      <c r="F11" t="str">
        <f t="shared" si="0"/>
        <v>CHAR_J("J","CC19"),</v>
      </c>
    </row>
    <row r="12" spans="2:6">
      <c r="B12" t="s">
        <v>50</v>
      </c>
      <c r="C12" t="s">
        <v>76</v>
      </c>
      <c r="F12" t="str">
        <f t="shared" si="0"/>
        <v>CHAR_K("K","CC20"),</v>
      </c>
    </row>
    <row r="13" spans="2:6">
      <c r="B13" t="s">
        <v>51</v>
      </c>
      <c r="C13" t="s">
        <v>77</v>
      </c>
      <c r="F13" t="str">
        <f t="shared" si="0"/>
        <v>CHAR_L("L","CC21"),</v>
      </c>
    </row>
    <row r="14" spans="2:6">
      <c r="B14" t="s">
        <v>52</v>
      </c>
      <c r="C14" t="s">
        <v>78</v>
      </c>
      <c r="F14" t="str">
        <f t="shared" si="0"/>
        <v>CHAR_M("M","CC22"),</v>
      </c>
    </row>
    <row r="15" spans="2:6">
      <c r="B15" t="s">
        <v>53</v>
      </c>
      <c r="C15" t="s">
        <v>79</v>
      </c>
      <c r="F15" t="str">
        <f t="shared" si="0"/>
        <v>CHAR_N("N","CC23"),</v>
      </c>
    </row>
    <row r="16" spans="2:6">
      <c r="B16" t="s">
        <v>54</v>
      </c>
      <c r="C16" t="s">
        <v>80</v>
      </c>
      <c r="F16" t="str">
        <f t="shared" si="0"/>
        <v>CHAR_O("O","CC24"),</v>
      </c>
    </row>
    <row r="17" spans="2:6">
      <c r="B17" t="s">
        <v>55</v>
      </c>
      <c r="C17" t="s">
        <v>81</v>
      </c>
      <c r="F17" t="str">
        <f t="shared" si="0"/>
        <v>CHAR_P("P","CC25"),</v>
      </c>
    </row>
    <row r="18" spans="2:6">
      <c r="B18" t="s">
        <v>56</v>
      </c>
      <c r="C18" t="s">
        <v>82</v>
      </c>
      <c r="F18" t="str">
        <f t="shared" si="0"/>
        <v>CHAR_Q("Q","CC26"),</v>
      </c>
    </row>
    <row r="19" spans="2:6">
      <c r="B19" t="s">
        <v>57</v>
      </c>
      <c r="C19" t="s">
        <v>83</v>
      </c>
      <c r="F19" t="str">
        <f t="shared" si="0"/>
        <v>CHAR_R("R","CC27"),</v>
      </c>
    </row>
    <row r="20" spans="2:6">
      <c r="B20" t="s">
        <v>58</v>
      </c>
      <c r="C20" t="s">
        <v>84</v>
      </c>
      <c r="F20" t="str">
        <f t="shared" si="0"/>
        <v>CHAR_S("S","CC28"),</v>
      </c>
    </row>
    <row r="21" spans="2:6">
      <c r="B21" t="s">
        <v>59</v>
      </c>
      <c r="C21" t="s">
        <v>85</v>
      </c>
      <c r="F21" t="str">
        <f t="shared" si="0"/>
        <v>CHAR_T("T","CC29"),</v>
      </c>
    </row>
    <row r="22" spans="2:6">
      <c r="B22" t="s">
        <v>60</v>
      </c>
      <c r="C22" t="s">
        <v>86</v>
      </c>
      <c r="F22" t="str">
        <f t="shared" si="0"/>
        <v>CHAR_U("U","CC30"),</v>
      </c>
    </row>
    <row r="23" spans="2:6">
      <c r="B23" t="s">
        <v>61</v>
      </c>
      <c r="C23" t="s">
        <v>87</v>
      </c>
      <c r="F23" t="str">
        <f t="shared" si="0"/>
        <v>CHAR_V("V","CC31"),</v>
      </c>
    </row>
    <row r="24" spans="2:6">
      <c r="B24" t="s">
        <v>62</v>
      </c>
      <c r="C24" t="s">
        <v>88</v>
      </c>
      <c r="F24" t="str">
        <f t="shared" si="0"/>
        <v>CHAR_W("W","CC32"),</v>
      </c>
    </row>
    <row r="25" spans="2:6">
      <c r="B25" t="s">
        <v>63</v>
      </c>
      <c r="C25" t="s">
        <v>89</v>
      </c>
      <c r="F25" t="str">
        <f t="shared" si="0"/>
        <v>CHAR_X("X","CC33"),</v>
      </c>
    </row>
    <row r="26" spans="2:6">
      <c r="B26" t="s">
        <v>64</v>
      </c>
      <c r="C26" t="s">
        <v>90</v>
      </c>
      <c r="F26" t="str">
        <f t="shared" si="0"/>
        <v>CHAR_Y("Y","CC34"),</v>
      </c>
    </row>
    <row r="27" spans="2:6">
      <c r="B27" t="s">
        <v>65</v>
      </c>
      <c r="C27" t="s">
        <v>91</v>
      </c>
      <c r="F27" t="str">
        <f t="shared" si="0"/>
        <v>CHAR_Z("Z","CC35"),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3.5"/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テストコード</vt:lpstr>
      <vt:lpstr>ソース生成</vt:lpstr>
      <vt:lpstr>Sheet3</vt:lpstr>
    </vt:vector>
  </TitlesOfParts>
  <Company>TAFS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T.Kawachi</dc:creator>
  <cp:lastModifiedBy>T.Kawachi</cp:lastModifiedBy>
  <dcterms:created xsi:type="dcterms:W3CDTF">2012-12-23T17:30:45Z</dcterms:created>
  <dcterms:modified xsi:type="dcterms:W3CDTF">2012-12-29T03:19:37Z</dcterms:modified>
</cp:coreProperties>
</file>